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15561013-1DB6-4B6C-A7D4-7D356816A8BA}" xr6:coauthVersionLast="47" xr6:coauthVersionMax="47" xr10:uidLastSave="{00000000-0000-0000-0000-000000000000}"/>
  <bookViews>
    <workbookView xWindow="-98" yWindow="-98" windowWidth="21795" windowHeight="13695" xr2:uid="{B71D7D39-B989-47E0-B364-94540EFD58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D13" i="1"/>
  <c r="D12" i="1"/>
  <c r="C12" i="1"/>
</calcChain>
</file>

<file path=xl/sharedStrings.xml><?xml version="1.0" encoding="utf-8"?>
<sst xmlns="http://schemas.openxmlformats.org/spreadsheetml/2006/main" count="26" uniqueCount="26">
  <si>
    <t>日期</t>
  </si>
  <si>
    <t>项目</t>
  </si>
  <si>
    <t>收入</t>
  </si>
  <si>
    <t>支出</t>
  </si>
  <si>
    <t>备注</t>
  </si>
  <si>
    <t>工资</t>
  </si>
  <si>
    <t>月工资</t>
  </si>
  <si>
    <t>房租</t>
  </si>
  <si>
    <t>月租金</t>
  </si>
  <si>
    <t>餐饮</t>
  </si>
  <si>
    <t>日常开销</t>
  </si>
  <si>
    <t>交通</t>
  </si>
  <si>
    <t>公交地铁</t>
  </si>
  <si>
    <t>购物</t>
  </si>
  <si>
    <t>衣物购买</t>
  </si>
  <si>
    <t>娱乐</t>
  </si>
  <si>
    <t>电影票</t>
  </si>
  <si>
    <t>医疗</t>
  </si>
  <si>
    <t>药品费用</t>
  </si>
  <si>
    <t>水电费</t>
  </si>
  <si>
    <t>电费水费</t>
  </si>
  <si>
    <t>通讯费</t>
  </si>
  <si>
    <t>手机话费</t>
  </si>
  <si>
    <t>投资收益</t>
  </si>
  <si>
    <t>股票分红</t>
  </si>
  <si>
    <t>是否超支（100）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</si>
</sst>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525D-CF14-4F70-A206-FA48C35F9809}">
  <dimension ref="A1:F13"/>
  <sheetViews>
    <sheetView tabSelected="1" workbookViewId="0">
      <selection activeCell="F2" sqref="F2:F11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4">
      <c r="A2" s="1">
        <v>46076</v>
      </c>
      <c r="B2" t="s">
        <v>5</v>
      </c>
      <c r="C2">
        <v>8935</v>
      </c>
      <c r="D2">
        <v>1307</v>
      </c>
      <c r="E2" t="s">
        <v>6</v>
      </c>
      <c r="F2" t="str">
        <f>IF(D2&gt;100,"超","正常")</f>
        <v>超</v>
      </c>
    </row>
    <row r="3" spans="1:6" x14ac:dyDescent="0.4">
      <c r="A3" s="1">
        <v>46059</v>
      </c>
      <c r="B3" t="s">
        <v>7</v>
      </c>
      <c r="C3">
        <v>0</v>
      </c>
      <c r="D3">
        <v>3462</v>
      </c>
      <c r="E3" t="s">
        <v>8</v>
      </c>
      <c r="F3" t="str">
        <f t="shared" ref="F3:F11" si="0">IF(D3&gt;100,"超","正常")</f>
        <v>超</v>
      </c>
    </row>
    <row r="4" spans="1:6" x14ac:dyDescent="0.4">
      <c r="A4" s="1">
        <v>46056</v>
      </c>
      <c r="B4" t="s">
        <v>9</v>
      </c>
      <c r="C4">
        <v>0</v>
      </c>
      <c r="D4">
        <v>2787</v>
      </c>
      <c r="E4" t="s">
        <v>10</v>
      </c>
      <c r="F4" t="str">
        <f t="shared" si="0"/>
        <v>超</v>
      </c>
    </row>
    <row r="5" spans="1:6" x14ac:dyDescent="0.4">
      <c r="A5" s="1">
        <v>46079</v>
      </c>
      <c r="B5" t="s">
        <v>11</v>
      </c>
      <c r="C5">
        <v>0</v>
      </c>
      <c r="D5">
        <v>2276</v>
      </c>
      <c r="E5" t="s">
        <v>12</v>
      </c>
      <c r="F5" t="str">
        <f t="shared" si="0"/>
        <v>超</v>
      </c>
    </row>
    <row r="6" spans="1:6" x14ac:dyDescent="0.4">
      <c r="A6" s="1">
        <v>46064</v>
      </c>
      <c r="B6" t="s">
        <v>13</v>
      </c>
      <c r="C6">
        <v>0</v>
      </c>
      <c r="D6">
        <v>1273</v>
      </c>
      <c r="E6" t="s">
        <v>14</v>
      </c>
      <c r="F6" t="str">
        <f t="shared" si="0"/>
        <v>超</v>
      </c>
    </row>
    <row r="7" spans="1:6" x14ac:dyDescent="0.4">
      <c r="A7" s="1">
        <v>46063</v>
      </c>
      <c r="B7" t="s">
        <v>15</v>
      </c>
      <c r="C7">
        <v>434</v>
      </c>
      <c r="D7">
        <v>0</v>
      </c>
      <c r="E7" t="s">
        <v>16</v>
      </c>
      <c r="F7" t="str">
        <f t="shared" si="0"/>
        <v>正常</v>
      </c>
    </row>
    <row r="8" spans="1:6" x14ac:dyDescent="0.4">
      <c r="A8" s="1">
        <v>46063</v>
      </c>
      <c r="B8" t="s">
        <v>17</v>
      </c>
      <c r="C8">
        <v>8928</v>
      </c>
      <c r="D8">
        <v>837</v>
      </c>
      <c r="E8" t="s">
        <v>18</v>
      </c>
      <c r="F8" t="str">
        <f t="shared" si="0"/>
        <v>超</v>
      </c>
    </row>
    <row r="9" spans="1:6" x14ac:dyDescent="0.4">
      <c r="A9" s="1">
        <v>46060</v>
      </c>
      <c r="B9" t="s">
        <v>19</v>
      </c>
      <c r="C9">
        <v>0</v>
      </c>
      <c r="D9">
        <v>759</v>
      </c>
      <c r="E9" t="s">
        <v>20</v>
      </c>
      <c r="F9" t="str">
        <f t="shared" si="0"/>
        <v>超</v>
      </c>
    </row>
    <row r="10" spans="1:6" x14ac:dyDescent="0.4">
      <c r="A10" s="1">
        <v>46079</v>
      </c>
      <c r="B10" t="s">
        <v>21</v>
      </c>
      <c r="C10">
        <v>0</v>
      </c>
      <c r="D10">
        <v>3112</v>
      </c>
      <c r="E10" t="s">
        <v>22</v>
      </c>
      <c r="F10" t="str">
        <f t="shared" si="0"/>
        <v>超</v>
      </c>
    </row>
    <row r="11" spans="1:6" x14ac:dyDescent="0.4">
      <c r="A11" s="1">
        <v>46059</v>
      </c>
      <c r="B11" t="s">
        <v>23</v>
      </c>
      <c r="C11">
        <v>0</v>
      </c>
      <c r="D11">
        <v>792</v>
      </c>
      <c r="E11" t="s">
        <v>24</v>
      </c>
      <c r="F11" t="str">
        <f t="shared" si="0"/>
        <v>超</v>
      </c>
    </row>
    <row r="12" spans="1:6" x14ac:dyDescent="0.4">
      <c r="C12">
        <f>SUM(C2:C11)</f>
        <v>18297</v>
      </c>
      <c r="D12">
        <f>SUM(D2:D11)</f>
        <v>16605</v>
      </c>
    </row>
    <row r="13" spans="1:6" x14ac:dyDescent="0.4">
      <c r="D13">
        <f>AVERAGE(D2:D11)</f>
        <v>1660.5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King</dc:creator>
  <cp:lastModifiedBy>Zoe King</cp:lastModifiedBy>
  <dcterms:created xsi:type="dcterms:W3CDTF">2026-03-05T07:32:32Z</dcterms:created>
  <dcterms:modified xsi:type="dcterms:W3CDTF">2026-03-05T07:40:01Z</dcterms:modified>
</cp:coreProperties>
</file>