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93E9AE48-7B7C-40D0-85D9-9CD5ED944C45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sheet1" sheetId="1" r:id="rId1"/>
    <sheet name="产品分析" sheetId="2" r:id="rId2"/>
  </sheets>
  <calcPr calcId="181029"/>
</workbook>
</file>

<file path=xl/calcChain.xml><?xml version="1.0" encoding="utf-8"?>
<calcChain xmlns="http://schemas.openxmlformats.org/spreadsheetml/2006/main">
  <c r="E9" i="2" l="1"/>
  <c r="E10" i="2"/>
  <c r="E11" i="2"/>
  <c r="E8" i="2"/>
  <c r="C11" i="2"/>
  <c r="D11" i="2"/>
  <c r="B11" i="2"/>
  <c r="D9" i="2"/>
  <c r="D10" i="2"/>
  <c r="D8" i="2"/>
</calcChain>
</file>

<file path=xl/sharedStrings.xml><?xml version="1.0" encoding="utf-8"?>
<sst xmlns="http://schemas.openxmlformats.org/spreadsheetml/2006/main" count="415" uniqueCount="101">
  <si>
    <t>明细账</t>
  </si>
  <si>
    <t>公司名称：江右创新科技有限公司</t>
  </si>
  <si>
    <t>期间：202503-202503</t>
  </si>
  <si>
    <t>币别：综合本位币</t>
  </si>
  <si>
    <t>科目编码</t>
  </si>
  <si>
    <t>科目名称</t>
  </si>
  <si>
    <t>日期</t>
  </si>
  <si>
    <t>业务日期</t>
  </si>
  <si>
    <t>凭证字号</t>
  </si>
  <si>
    <t>摘要</t>
  </si>
  <si>
    <t>借方</t>
  </si>
  <si>
    <t>贷方</t>
  </si>
  <si>
    <t>余额</t>
  </si>
  <si>
    <t>方向</t>
  </si>
  <si>
    <t>金额</t>
  </si>
  <si>
    <t>500101</t>
  </si>
  <si>
    <t>主营业务收入_A产品</t>
  </si>
  <si>
    <t>2025-03-01</t>
  </si>
  <si>
    <t>期初余额</t>
  </si>
  <si>
    <t>平</t>
  </si>
  <si>
    <t>2025-03-05</t>
  </si>
  <si>
    <t>记-1</t>
  </si>
  <si>
    <t>贷</t>
  </si>
  <si>
    <t>2025-03-31</t>
  </si>
  <si>
    <t>记-15</t>
  </si>
  <si>
    <t>结转本期损益</t>
  </si>
  <si>
    <t>本期合计</t>
  </si>
  <si>
    <t>本年累计</t>
  </si>
  <si>
    <t>500102</t>
  </si>
  <si>
    <t>主营业务收入_B产品</t>
  </si>
  <si>
    <t>2025-03-08</t>
  </si>
  <si>
    <t>记-3</t>
  </si>
  <si>
    <t>500103</t>
  </si>
  <si>
    <t>主营业务收入_C产品</t>
  </si>
  <si>
    <t>2025-03-10</t>
  </si>
  <si>
    <t>记-5</t>
  </si>
  <si>
    <t>540101</t>
  </si>
  <si>
    <t>主营业务成本_A产品</t>
  </si>
  <si>
    <t>记-2</t>
  </si>
  <si>
    <t>结转A产品销售成本</t>
  </si>
  <si>
    <t>借</t>
  </si>
  <si>
    <t>540102</t>
  </si>
  <si>
    <t>主营业务成本_B产品</t>
  </si>
  <si>
    <t>记-4</t>
  </si>
  <si>
    <t>结转B产品销售成本</t>
  </si>
  <si>
    <t>540103</t>
  </si>
  <si>
    <t>主营业务成本_C产品</t>
  </si>
  <si>
    <t>记-6</t>
  </si>
  <si>
    <t>结转C产品销售成本</t>
  </si>
  <si>
    <t>560201</t>
  </si>
  <si>
    <t>管理费用_办公用品</t>
  </si>
  <si>
    <t>2025-03-22</t>
  </si>
  <si>
    <t>记-10</t>
  </si>
  <si>
    <t>购买办公用品</t>
  </si>
  <si>
    <t>560204</t>
  </si>
  <si>
    <t>管理费用_水电费</t>
  </si>
  <si>
    <t>2025-03-18</t>
  </si>
  <si>
    <t>记-8</t>
  </si>
  <si>
    <t>支付水电费</t>
  </si>
  <si>
    <t>560205</t>
  </si>
  <si>
    <t>管理费用_交际应酬费</t>
  </si>
  <si>
    <t>2025-03-20</t>
  </si>
  <si>
    <t>记-9</t>
  </si>
  <si>
    <t>支付业务招待费</t>
  </si>
  <si>
    <t>560209</t>
  </si>
  <si>
    <t>管理费用_工资</t>
  </si>
  <si>
    <t>2025-03-15</t>
  </si>
  <si>
    <t>记-7</t>
  </si>
  <si>
    <t>支付员工工资</t>
  </si>
  <si>
    <t>560212</t>
  </si>
  <si>
    <t>管理费用_累计折旧</t>
  </si>
  <si>
    <t>2025-03-28</t>
  </si>
  <si>
    <t>记-12</t>
  </si>
  <si>
    <t>计提折旧</t>
  </si>
  <si>
    <t>560216</t>
  </si>
  <si>
    <t>管理费用_维修费</t>
  </si>
  <si>
    <t>2025-03-25</t>
  </si>
  <si>
    <t>记-11</t>
  </si>
  <si>
    <t>支付设备维修费</t>
  </si>
  <si>
    <t>560303</t>
  </si>
  <si>
    <t>财务费用_手续费</t>
  </si>
  <si>
    <t>2025-03-30</t>
  </si>
  <si>
    <t>记-13</t>
  </si>
  <si>
    <t>银行手续费</t>
  </si>
  <si>
    <t>A产品收入</t>
    <phoneticPr fontId="4" type="noConversion"/>
  </si>
  <si>
    <t>A产品成本</t>
    <phoneticPr fontId="4" type="noConversion"/>
  </si>
  <si>
    <t>B产品收入</t>
    <phoneticPr fontId="4" type="noConversion"/>
  </si>
  <si>
    <t>B产品成本</t>
    <phoneticPr fontId="4" type="noConversion"/>
  </si>
  <si>
    <t>C产品收入</t>
    <phoneticPr fontId="4" type="noConversion"/>
  </si>
  <si>
    <t>C产品成本</t>
    <phoneticPr fontId="4" type="noConversion"/>
  </si>
  <si>
    <t>D产品收入</t>
    <phoneticPr fontId="4" type="noConversion"/>
  </si>
  <si>
    <t>D产品成本</t>
    <phoneticPr fontId="4" type="noConversion"/>
  </si>
  <si>
    <t>产品</t>
    <phoneticPr fontId="4" type="noConversion"/>
  </si>
  <si>
    <t>收入</t>
    <phoneticPr fontId="4" type="noConversion"/>
  </si>
  <si>
    <t>成本</t>
    <phoneticPr fontId="4" type="noConversion"/>
  </si>
  <si>
    <t>毛利</t>
    <phoneticPr fontId="4" type="noConversion"/>
  </si>
  <si>
    <t>毛利率</t>
    <phoneticPr fontId="4" type="noConversion"/>
  </si>
  <si>
    <t>A</t>
    <phoneticPr fontId="4" type="noConversion"/>
  </si>
  <si>
    <t>B</t>
    <phoneticPr fontId="4" type="noConversion"/>
  </si>
  <si>
    <t>C</t>
    <phoneticPr fontId="4" type="noConversion"/>
  </si>
  <si>
    <t>合计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</si>
</sst>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sz val="11"/>
      <name val="宋体"/>
      <charset val="134"/>
    </font>
    <font>
      <sz val="11"/>
      <name val="宋体"/>
      <charset val="134"/>
    </font>
    <font>
      <b/>
      <sz val="16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NumberFormat="1" applyBorder="1" applyAlignment="1"/>
    <xf numFmtId="0" fontId="3" fillId="0" borderId="0" xfId="0" applyNumberFormat="1" applyFont="1" applyAlignment="1">
      <alignment horizontal="center"/>
    </xf>
    <xf numFmtId="0" fontId="0" fillId="0" borderId="0" xfId="0" applyNumberFormat="1">
      <alignment vertical="center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right"/>
    </xf>
    <xf numFmtId="0" fontId="0" fillId="2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workbookViewId="0">
      <selection activeCell="J22" sqref="J22"/>
    </sheetView>
  </sheetViews>
  <sheetFormatPr defaultRowHeight="13.9" x14ac:dyDescent="0.4"/>
  <cols>
    <col min="1" max="1" width="15" customWidth="1"/>
    <col min="2" max="2" width="27.19921875" customWidth="1"/>
    <col min="3" max="3" width="16.86328125" customWidth="1"/>
    <col min="4" max="5" width="15" customWidth="1"/>
    <col min="6" max="6" width="27.53125" customWidth="1"/>
    <col min="7" max="10" width="7.46484375" customWidth="1"/>
  </cols>
  <sheetData>
    <row r="1" spans="1:10" ht="20.25" x14ac:dyDescent="0.4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4" t="s">
        <v>1</v>
      </c>
      <c r="B2" s="3"/>
      <c r="C2" s="3"/>
      <c r="D2" s="3"/>
      <c r="E2" s="3"/>
      <c r="F2" s="5" t="s">
        <v>2</v>
      </c>
      <c r="G2" s="3"/>
      <c r="H2" s="3"/>
      <c r="I2" s="3"/>
      <c r="J2" s="3"/>
    </row>
    <row r="3" spans="1:10" x14ac:dyDescent="0.3">
      <c r="A3" s="3"/>
      <c r="B3" s="3"/>
      <c r="C3" s="3"/>
      <c r="D3" s="3"/>
      <c r="E3" s="3"/>
      <c r="F3" s="5" t="s">
        <v>3</v>
      </c>
      <c r="G3" s="3"/>
      <c r="H3" s="3"/>
      <c r="I3" s="3"/>
      <c r="J3" s="3"/>
    </row>
    <row r="4" spans="1:10" x14ac:dyDescent="0.4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12</v>
      </c>
    </row>
    <row r="5" spans="1:10" ht="15" customHeight="1" x14ac:dyDescent="0.4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7" t="s">
        <v>13</v>
      </c>
      <c r="J5" s="7" t="s">
        <v>14</v>
      </c>
    </row>
    <row r="6" spans="1:10" x14ac:dyDescent="0.4">
      <c r="A6" s="1" t="s">
        <v>15</v>
      </c>
      <c r="B6" s="1" t="s">
        <v>16</v>
      </c>
      <c r="C6" s="1" t="s">
        <v>17</v>
      </c>
      <c r="D6" s="1"/>
      <c r="E6" s="1"/>
      <c r="F6" s="1" t="s">
        <v>18</v>
      </c>
      <c r="G6" s="1"/>
      <c r="H6" s="1"/>
      <c r="I6" s="1" t="s">
        <v>19</v>
      </c>
      <c r="J6" s="1"/>
    </row>
    <row r="7" spans="1:10" x14ac:dyDescent="0.4">
      <c r="A7" s="1" t="s">
        <v>15</v>
      </c>
      <c r="B7" s="1" t="s">
        <v>16</v>
      </c>
      <c r="C7" s="1" t="s">
        <v>20</v>
      </c>
      <c r="D7" s="1" t="s">
        <v>20</v>
      </c>
      <c r="E7" s="1" t="s">
        <v>21</v>
      </c>
      <c r="F7" s="1"/>
      <c r="G7" s="1"/>
      <c r="H7" s="1">
        <v>120000</v>
      </c>
      <c r="I7" s="1" t="s">
        <v>22</v>
      </c>
      <c r="J7" s="1">
        <v>120000</v>
      </c>
    </row>
    <row r="8" spans="1:10" x14ac:dyDescent="0.4">
      <c r="A8" s="1" t="s">
        <v>15</v>
      </c>
      <c r="B8" s="1" t="s">
        <v>16</v>
      </c>
      <c r="C8" s="1" t="s">
        <v>23</v>
      </c>
      <c r="D8" s="1" t="s">
        <v>23</v>
      </c>
      <c r="E8" s="1" t="s">
        <v>24</v>
      </c>
      <c r="F8" s="1" t="s">
        <v>25</v>
      </c>
      <c r="G8" s="1">
        <v>120000</v>
      </c>
      <c r="H8" s="1"/>
      <c r="I8" s="1" t="s">
        <v>19</v>
      </c>
      <c r="J8" s="1"/>
    </row>
    <row r="9" spans="1:10" x14ac:dyDescent="0.4">
      <c r="A9" s="1" t="s">
        <v>15</v>
      </c>
      <c r="B9" s="1" t="s">
        <v>16</v>
      </c>
      <c r="C9" s="1" t="s">
        <v>23</v>
      </c>
      <c r="D9" s="1"/>
      <c r="E9" s="1"/>
      <c r="F9" s="1" t="s">
        <v>26</v>
      </c>
      <c r="G9" s="1">
        <v>120000</v>
      </c>
      <c r="H9" s="1">
        <v>120000</v>
      </c>
      <c r="I9" s="1" t="s">
        <v>19</v>
      </c>
      <c r="J9" s="1"/>
    </row>
    <row r="10" spans="1:10" x14ac:dyDescent="0.4">
      <c r="A10" s="1" t="s">
        <v>15</v>
      </c>
      <c r="B10" s="1" t="s">
        <v>16</v>
      </c>
      <c r="C10" s="1" t="s">
        <v>23</v>
      </c>
      <c r="D10" s="1"/>
      <c r="E10" s="1"/>
      <c r="F10" s="1" t="s">
        <v>27</v>
      </c>
      <c r="G10" s="1">
        <v>220000</v>
      </c>
      <c r="H10" s="1">
        <v>220000</v>
      </c>
      <c r="I10" s="1" t="s">
        <v>19</v>
      </c>
      <c r="J10" s="1"/>
    </row>
    <row r="11" spans="1:10" x14ac:dyDescent="0.4">
      <c r="A11" s="1" t="s">
        <v>28</v>
      </c>
      <c r="B11" s="1" t="s">
        <v>29</v>
      </c>
      <c r="C11" s="1" t="s">
        <v>17</v>
      </c>
      <c r="D11" s="1"/>
      <c r="E11" s="1"/>
      <c r="F11" s="1" t="s">
        <v>18</v>
      </c>
      <c r="G11" s="1"/>
      <c r="H11" s="1"/>
      <c r="I11" s="1" t="s">
        <v>19</v>
      </c>
      <c r="J11" s="1"/>
    </row>
    <row r="12" spans="1:10" x14ac:dyDescent="0.4">
      <c r="A12" s="1" t="s">
        <v>28</v>
      </c>
      <c r="B12" s="1" t="s">
        <v>29</v>
      </c>
      <c r="C12" s="1" t="s">
        <v>30</v>
      </c>
      <c r="D12" s="1" t="s">
        <v>30</v>
      </c>
      <c r="E12" s="1" t="s">
        <v>31</v>
      </c>
      <c r="F12" s="1"/>
      <c r="G12" s="1"/>
      <c r="H12" s="1">
        <v>60000</v>
      </c>
      <c r="I12" s="1" t="s">
        <v>22</v>
      </c>
      <c r="J12" s="1">
        <v>60000</v>
      </c>
    </row>
    <row r="13" spans="1:10" x14ac:dyDescent="0.4">
      <c r="A13" s="1" t="s">
        <v>28</v>
      </c>
      <c r="B13" s="1" t="s">
        <v>29</v>
      </c>
      <c r="C13" s="1" t="s">
        <v>23</v>
      </c>
      <c r="D13" s="1" t="s">
        <v>23</v>
      </c>
      <c r="E13" s="1" t="s">
        <v>24</v>
      </c>
      <c r="F13" s="1" t="s">
        <v>25</v>
      </c>
      <c r="G13" s="1">
        <v>60000</v>
      </c>
      <c r="H13" s="1"/>
      <c r="I13" s="1" t="s">
        <v>19</v>
      </c>
      <c r="J13" s="1"/>
    </row>
    <row r="14" spans="1:10" x14ac:dyDescent="0.4">
      <c r="A14" s="1" t="s">
        <v>28</v>
      </c>
      <c r="B14" s="1" t="s">
        <v>29</v>
      </c>
      <c r="C14" s="1" t="s">
        <v>23</v>
      </c>
      <c r="D14" s="1"/>
      <c r="E14" s="1"/>
      <c r="F14" s="1" t="s">
        <v>26</v>
      </c>
      <c r="G14" s="1">
        <v>60000</v>
      </c>
      <c r="H14" s="1">
        <v>60000</v>
      </c>
      <c r="I14" s="1" t="s">
        <v>19</v>
      </c>
      <c r="J14" s="1"/>
    </row>
    <row r="15" spans="1:10" x14ac:dyDescent="0.4">
      <c r="A15" s="1" t="s">
        <v>28</v>
      </c>
      <c r="B15" s="1" t="s">
        <v>29</v>
      </c>
      <c r="C15" s="1" t="s">
        <v>23</v>
      </c>
      <c r="D15" s="1"/>
      <c r="E15" s="1"/>
      <c r="F15" s="1" t="s">
        <v>27</v>
      </c>
      <c r="G15" s="1">
        <v>110000</v>
      </c>
      <c r="H15" s="1">
        <v>110000</v>
      </c>
      <c r="I15" s="1" t="s">
        <v>19</v>
      </c>
      <c r="J15" s="1"/>
    </row>
    <row r="16" spans="1:10" x14ac:dyDescent="0.4">
      <c r="A16" s="1" t="s">
        <v>32</v>
      </c>
      <c r="B16" s="1" t="s">
        <v>33</v>
      </c>
      <c r="C16" s="1" t="s">
        <v>17</v>
      </c>
      <c r="D16" s="1"/>
      <c r="E16" s="1"/>
      <c r="F16" s="1" t="s">
        <v>18</v>
      </c>
      <c r="G16" s="1"/>
      <c r="H16" s="1"/>
      <c r="I16" s="1" t="s">
        <v>19</v>
      </c>
      <c r="J16" s="1"/>
    </row>
    <row r="17" spans="1:10" x14ac:dyDescent="0.4">
      <c r="A17" s="1" t="s">
        <v>32</v>
      </c>
      <c r="B17" s="1" t="s">
        <v>33</v>
      </c>
      <c r="C17" s="1" t="s">
        <v>34</v>
      </c>
      <c r="D17" s="1" t="s">
        <v>34</v>
      </c>
      <c r="E17" s="1" t="s">
        <v>35</v>
      </c>
      <c r="F17" s="1"/>
      <c r="G17" s="1"/>
      <c r="H17" s="1">
        <v>40000</v>
      </c>
      <c r="I17" s="1" t="s">
        <v>22</v>
      </c>
      <c r="J17" s="1">
        <v>40000</v>
      </c>
    </row>
    <row r="18" spans="1:10" x14ac:dyDescent="0.4">
      <c r="A18" s="1" t="s">
        <v>32</v>
      </c>
      <c r="B18" s="1" t="s">
        <v>33</v>
      </c>
      <c r="C18" s="1" t="s">
        <v>23</v>
      </c>
      <c r="D18" s="1" t="s">
        <v>23</v>
      </c>
      <c r="E18" s="1" t="s">
        <v>24</v>
      </c>
      <c r="F18" s="1" t="s">
        <v>25</v>
      </c>
      <c r="G18" s="1">
        <v>40000</v>
      </c>
      <c r="H18" s="1"/>
      <c r="I18" s="1" t="s">
        <v>19</v>
      </c>
      <c r="J18" s="1"/>
    </row>
    <row r="19" spans="1:10" x14ac:dyDescent="0.4">
      <c r="A19" s="1" t="s">
        <v>32</v>
      </c>
      <c r="B19" s="1" t="s">
        <v>33</v>
      </c>
      <c r="C19" s="1" t="s">
        <v>23</v>
      </c>
      <c r="D19" s="1"/>
      <c r="E19" s="1"/>
      <c r="F19" s="1" t="s">
        <v>26</v>
      </c>
      <c r="G19" s="1">
        <v>40000</v>
      </c>
      <c r="H19" s="1">
        <v>40000</v>
      </c>
      <c r="I19" s="1" t="s">
        <v>19</v>
      </c>
      <c r="J19" s="1"/>
    </row>
    <row r="20" spans="1:10" x14ac:dyDescent="0.4">
      <c r="A20" s="1" t="s">
        <v>32</v>
      </c>
      <c r="B20" s="1" t="s">
        <v>33</v>
      </c>
      <c r="C20" s="1" t="s">
        <v>23</v>
      </c>
      <c r="D20" s="1"/>
      <c r="E20" s="1"/>
      <c r="F20" s="1" t="s">
        <v>27</v>
      </c>
      <c r="G20" s="1">
        <v>40000</v>
      </c>
      <c r="H20" s="1">
        <v>40000</v>
      </c>
      <c r="I20" s="1" t="s">
        <v>19</v>
      </c>
      <c r="J20" s="1"/>
    </row>
    <row r="21" spans="1:10" x14ac:dyDescent="0.4">
      <c r="A21" s="1" t="s">
        <v>36</v>
      </c>
      <c r="B21" s="1" t="s">
        <v>37</v>
      </c>
      <c r="C21" s="1" t="s">
        <v>17</v>
      </c>
      <c r="D21" s="1"/>
      <c r="E21" s="1"/>
      <c r="F21" s="1" t="s">
        <v>18</v>
      </c>
      <c r="G21" s="1"/>
      <c r="H21" s="1"/>
      <c r="I21" s="1" t="s">
        <v>19</v>
      </c>
      <c r="J21" s="1"/>
    </row>
    <row r="22" spans="1:10" x14ac:dyDescent="0.4">
      <c r="A22" s="1" t="s">
        <v>36</v>
      </c>
      <c r="B22" s="1" t="s">
        <v>37</v>
      </c>
      <c r="C22" s="1" t="s">
        <v>20</v>
      </c>
      <c r="D22" s="1" t="s">
        <v>20</v>
      </c>
      <c r="E22" s="1" t="s">
        <v>38</v>
      </c>
      <c r="F22" s="1" t="s">
        <v>39</v>
      </c>
      <c r="G22" s="1">
        <v>72000</v>
      </c>
      <c r="H22" s="1"/>
      <c r="I22" s="1" t="s">
        <v>40</v>
      </c>
      <c r="J22" s="1">
        <v>72000</v>
      </c>
    </row>
    <row r="23" spans="1:10" x14ac:dyDescent="0.4">
      <c r="A23" s="1" t="s">
        <v>36</v>
      </c>
      <c r="B23" s="1" t="s">
        <v>37</v>
      </c>
      <c r="C23" s="1" t="s">
        <v>23</v>
      </c>
      <c r="D23" s="1" t="s">
        <v>23</v>
      </c>
      <c r="E23" s="1" t="s">
        <v>24</v>
      </c>
      <c r="F23" s="1" t="s">
        <v>25</v>
      </c>
      <c r="G23" s="1"/>
      <c r="H23" s="1">
        <v>72000</v>
      </c>
      <c r="I23" s="1" t="s">
        <v>19</v>
      </c>
      <c r="J23" s="1"/>
    </row>
    <row r="24" spans="1:10" x14ac:dyDescent="0.4">
      <c r="A24" s="1" t="s">
        <v>36</v>
      </c>
      <c r="B24" s="1" t="s">
        <v>37</v>
      </c>
      <c r="C24" s="1" t="s">
        <v>23</v>
      </c>
      <c r="D24" s="1"/>
      <c r="E24" s="1"/>
      <c r="F24" s="1" t="s">
        <v>26</v>
      </c>
      <c r="G24" s="1">
        <v>72000</v>
      </c>
      <c r="H24" s="1">
        <v>72000</v>
      </c>
      <c r="I24" s="1" t="s">
        <v>19</v>
      </c>
      <c r="J24" s="1"/>
    </row>
    <row r="25" spans="1:10" x14ac:dyDescent="0.4">
      <c r="A25" s="1" t="s">
        <v>36</v>
      </c>
      <c r="B25" s="1" t="s">
        <v>37</v>
      </c>
      <c r="C25" s="1" t="s">
        <v>23</v>
      </c>
      <c r="D25" s="1"/>
      <c r="E25" s="1"/>
      <c r="F25" s="1" t="s">
        <v>27</v>
      </c>
      <c r="G25" s="1">
        <v>132000</v>
      </c>
      <c r="H25" s="1">
        <v>132000</v>
      </c>
      <c r="I25" s="1" t="s">
        <v>19</v>
      </c>
      <c r="J25" s="1"/>
    </row>
    <row r="26" spans="1:10" x14ac:dyDescent="0.4">
      <c r="A26" s="1" t="s">
        <v>41</v>
      </c>
      <c r="B26" s="1" t="s">
        <v>42</v>
      </c>
      <c r="C26" s="1" t="s">
        <v>17</v>
      </c>
      <c r="D26" s="1"/>
      <c r="E26" s="1"/>
      <c r="F26" s="1" t="s">
        <v>18</v>
      </c>
      <c r="G26" s="1"/>
      <c r="H26" s="1"/>
      <c r="I26" s="1" t="s">
        <v>19</v>
      </c>
      <c r="J26" s="1"/>
    </row>
    <row r="27" spans="1:10" x14ac:dyDescent="0.4">
      <c r="A27" s="1" t="s">
        <v>41</v>
      </c>
      <c r="B27" s="1" t="s">
        <v>42</v>
      </c>
      <c r="C27" s="1" t="s">
        <v>30</v>
      </c>
      <c r="D27" s="1" t="s">
        <v>30</v>
      </c>
      <c r="E27" s="1" t="s">
        <v>43</v>
      </c>
      <c r="F27" s="1" t="s">
        <v>44</v>
      </c>
      <c r="G27" s="1">
        <v>36000</v>
      </c>
      <c r="H27" s="1"/>
      <c r="I27" s="1" t="s">
        <v>40</v>
      </c>
      <c r="J27" s="1">
        <v>36000</v>
      </c>
    </row>
    <row r="28" spans="1:10" x14ac:dyDescent="0.4">
      <c r="A28" s="1" t="s">
        <v>41</v>
      </c>
      <c r="B28" s="1" t="s">
        <v>42</v>
      </c>
      <c r="C28" s="1" t="s">
        <v>23</v>
      </c>
      <c r="D28" s="1" t="s">
        <v>23</v>
      </c>
      <c r="E28" s="1" t="s">
        <v>24</v>
      </c>
      <c r="F28" s="1" t="s">
        <v>25</v>
      </c>
      <c r="G28" s="1"/>
      <c r="H28" s="1">
        <v>36000</v>
      </c>
      <c r="I28" s="1" t="s">
        <v>19</v>
      </c>
      <c r="J28" s="1"/>
    </row>
    <row r="29" spans="1:10" x14ac:dyDescent="0.4">
      <c r="A29" s="1" t="s">
        <v>41</v>
      </c>
      <c r="B29" s="1" t="s">
        <v>42</v>
      </c>
      <c r="C29" s="1" t="s">
        <v>23</v>
      </c>
      <c r="D29" s="1"/>
      <c r="E29" s="1"/>
      <c r="F29" s="1" t="s">
        <v>26</v>
      </c>
      <c r="G29" s="1">
        <v>36000</v>
      </c>
      <c r="H29" s="1">
        <v>36000</v>
      </c>
      <c r="I29" s="1" t="s">
        <v>19</v>
      </c>
      <c r="J29" s="1"/>
    </row>
    <row r="30" spans="1:10" x14ac:dyDescent="0.4">
      <c r="A30" s="1" t="s">
        <v>41</v>
      </c>
      <c r="B30" s="1" t="s">
        <v>42</v>
      </c>
      <c r="C30" s="1" t="s">
        <v>23</v>
      </c>
      <c r="D30" s="1"/>
      <c r="E30" s="1"/>
      <c r="F30" s="1" t="s">
        <v>27</v>
      </c>
      <c r="G30" s="1">
        <v>66000</v>
      </c>
      <c r="H30" s="1">
        <v>66000</v>
      </c>
      <c r="I30" s="1" t="s">
        <v>19</v>
      </c>
      <c r="J30" s="1"/>
    </row>
    <row r="31" spans="1:10" x14ac:dyDescent="0.4">
      <c r="A31" s="1" t="s">
        <v>45</v>
      </c>
      <c r="B31" s="1" t="s">
        <v>46</v>
      </c>
      <c r="C31" s="1" t="s">
        <v>17</v>
      </c>
      <c r="D31" s="1"/>
      <c r="E31" s="1"/>
      <c r="F31" s="1" t="s">
        <v>18</v>
      </c>
      <c r="G31" s="1"/>
      <c r="H31" s="1"/>
      <c r="I31" s="1" t="s">
        <v>19</v>
      </c>
      <c r="J31" s="1"/>
    </row>
    <row r="32" spans="1:10" x14ac:dyDescent="0.4">
      <c r="A32" s="1" t="s">
        <v>45</v>
      </c>
      <c r="B32" s="1" t="s">
        <v>46</v>
      </c>
      <c r="C32" s="1" t="s">
        <v>34</v>
      </c>
      <c r="D32" s="1" t="s">
        <v>34</v>
      </c>
      <c r="E32" s="1" t="s">
        <v>47</v>
      </c>
      <c r="F32" s="1" t="s">
        <v>48</v>
      </c>
      <c r="G32" s="1">
        <v>28000</v>
      </c>
      <c r="H32" s="1"/>
      <c r="I32" s="1" t="s">
        <v>40</v>
      </c>
      <c r="J32" s="1">
        <v>28000</v>
      </c>
    </row>
    <row r="33" spans="1:10" x14ac:dyDescent="0.4">
      <c r="A33" s="1" t="s">
        <v>45</v>
      </c>
      <c r="B33" s="1" t="s">
        <v>46</v>
      </c>
      <c r="C33" s="1" t="s">
        <v>23</v>
      </c>
      <c r="D33" s="1" t="s">
        <v>23</v>
      </c>
      <c r="E33" s="1" t="s">
        <v>24</v>
      </c>
      <c r="F33" s="1" t="s">
        <v>25</v>
      </c>
      <c r="G33" s="1"/>
      <c r="H33" s="1">
        <v>28000</v>
      </c>
      <c r="I33" s="1" t="s">
        <v>19</v>
      </c>
      <c r="J33" s="1"/>
    </row>
    <row r="34" spans="1:10" x14ac:dyDescent="0.4">
      <c r="A34" s="1" t="s">
        <v>45</v>
      </c>
      <c r="B34" s="1" t="s">
        <v>46</v>
      </c>
      <c r="C34" s="1" t="s">
        <v>23</v>
      </c>
      <c r="D34" s="1"/>
      <c r="E34" s="1"/>
      <c r="F34" s="1" t="s">
        <v>26</v>
      </c>
      <c r="G34" s="1">
        <v>28000</v>
      </c>
      <c r="H34" s="1">
        <v>28000</v>
      </c>
      <c r="I34" s="1" t="s">
        <v>19</v>
      </c>
      <c r="J34" s="1"/>
    </row>
    <row r="35" spans="1:10" x14ac:dyDescent="0.4">
      <c r="A35" s="1" t="s">
        <v>45</v>
      </c>
      <c r="B35" s="1" t="s">
        <v>46</v>
      </c>
      <c r="C35" s="1" t="s">
        <v>23</v>
      </c>
      <c r="D35" s="1"/>
      <c r="E35" s="1"/>
      <c r="F35" s="1" t="s">
        <v>27</v>
      </c>
      <c r="G35" s="1">
        <v>28000</v>
      </c>
      <c r="H35" s="1">
        <v>28000</v>
      </c>
      <c r="I35" s="1" t="s">
        <v>19</v>
      </c>
      <c r="J35" s="1"/>
    </row>
    <row r="36" spans="1:10" x14ac:dyDescent="0.4">
      <c r="A36" s="1" t="s">
        <v>49</v>
      </c>
      <c r="B36" s="1" t="s">
        <v>50</v>
      </c>
      <c r="C36" s="1" t="s">
        <v>17</v>
      </c>
      <c r="D36" s="1"/>
      <c r="E36" s="1"/>
      <c r="F36" s="1" t="s">
        <v>18</v>
      </c>
      <c r="G36" s="1"/>
      <c r="H36" s="1"/>
      <c r="I36" s="1" t="s">
        <v>19</v>
      </c>
      <c r="J36" s="1"/>
    </row>
    <row r="37" spans="1:10" x14ac:dyDescent="0.4">
      <c r="A37" s="1" t="s">
        <v>49</v>
      </c>
      <c r="B37" s="1" t="s">
        <v>50</v>
      </c>
      <c r="C37" s="1" t="s">
        <v>51</v>
      </c>
      <c r="D37" s="1" t="s">
        <v>51</v>
      </c>
      <c r="E37" s="1" t="s">
        <v>52</v>
      </c>
      <c r="F37" s="1" t="s">
        <v>53</v>
      </c>
      <c r="G37" s="1">
        <v>1200</v>
      </c>
      <c r="H37" s="1"/>
      <c r="I37" s="1" t="s">
        <v>40</v>
      </c>
      <c r="J37" s="1">
        <v>1200</v>
      </c>
    </row>
    <row r="38" spans="1:10" x14ac:dyDescent="0.4">
      <c r="A38" s="1" t="s">
        <v>49</v>
      </c>
      <c r="B38" s="1" t="s">
        <v>50</v>
      </c>
      <c r="C38" s="1" t="s">
        <v>23</v>
      </c>
      <c r="D38" s="1" t="s">
        <v>23</v>
      </c>
      <c r="E38" s="1" t="s">
        <v>24</v>
      </c>
      <c r="F38" s="1" t="s">
        <v>25</v>
      </c>
      <c r="G38" s="1"/>
      <c r="H38" s="1">
        <v>1200</v>
      </c>
      <c r="I38" s="1" t="s">
        <v>19</v>
      </c>
      <c r="J38" s="1"/>
    </row>
    <row r="39" spans="1:10" x14ac:dyDescent="0.4">
      <c r="A39" s="1" t="s">
        <v>49</v>
      </c>
      <c r="B39" s="1" t="s">
        <v>50</v>
      </c>
      <c r="C39" s="1" t="s">
        <v>23</v>
      </c>
      <c r="D39" s="1"/>
      <c r="E39" s="1"/>
      <c r="F39" s="1" t="s">
        <v>26</v>
      </c>
      <c r="G39" s="1">
        <v>1200</v>
      </c>
      <c r="H39" s="1">
        <v>1200</v>
      </c>
      <c r="I39" s="1" t="s">
        <v>19</v>
      </c>
      <c r="J39" s="1"/>
    </row>
    <row r="40" spans="1:10" x14ac:dyDescent="0.4">
      <c r="A40" s="1" t="s">
        <v>49</v>
      </c>
      <c r="B40" s="1" t="s">
        <v>50</v>
      </c>
      <c r="C40" s="1" t="s">
        <v>23</v>
      </c>
      <c r="D40" s="1"/>
      <c r="E40" s="1"/>
      <c r="F40" s="1" t="s">
        <v>27</v>
      </c>
      <c r="G40" s="1">
        <v>2200</v>
      </c>
      <c r="H40" s="1">
        <v>2200</v>
      </c>
      <c r="I40" s="1" t="s">
        <v>19</v>
      </c>
      <c r="J40" s="1"/>
    </row>
    <row r="41" spans="1:10" x14ac:dyDescent="0.4">
      <c r="A41" s="1" t="s">
        <v>54</v>
      </c>
      <c r="B41" s="1" t="s">
        <v>55</v>
      </c>
      <c r="C41" s="1" t="s">
        <v>17</v>
      </c>
      <c r="D41" s="1"/>
      <c r="E41" s="1"/>
      <c r="F41" s="1" t="s">
        <v>18</v>
      </c>
      <c r="G41" s="1"/>
      <c r="H41" s="1"/>
      <c r="I41" s="1" t="s">
        <v>19</v>
      </c>
      <c r="J41" s="1"/>
    </row>
    <row r="42" spans="1:10" x14ac:dyDescent="0.4">
      <c r="A42" s="1" t="s">
        <v>54</v>
      </c>
      <c r="B42" s="1" t="s">
        <v>55</v>
      </c>
      <c r="C42" s="1" t="s">
        <v>56</v>
      </c>
      <c r="D42" s="1" t="s">
        <v>56</v>
      </c>
      <c r="E42" s="1" t="s">
        <v>57</v>
      </c>
      <c r="F42" s="1" t="s">
        <v>58</v>
      </c>
      <c r="G42" s="1">
        <v>3500</v>
      </c>
      <c r="H42" s="1"/>
      <c r="I42" s="1" t="s">
        <v>40</v>
      </c>
      <c r="J42" s="1">
        <v>3500</v>
      </c>
    </row>
    <row r="43" spans="1:10" x14ac:dyDescent="0.4">
      <c r="A43" s="1" t="s">
        <v>54</v>
      </c>
      <c r="B43" s="1" t="s">
        <v>55</v>
      </c>
      <c r="C43" s="1" t="s">
        <v>23</v>
      </c>
      <c r="D43" s="1" t="s">
        <v>23</v>
      </c>
      <c r="E43" s="1" t="s">
        <v>24</v>
      </c>
      <c r="F43" s="1" t="s">
        <v>25</v>
      </c>
      <c r="G43" s="1"/>
      <c r="H43" s="1">
        <v>3500</v>
      </c>
      <c r="I43" s="1" t="s">
        <v>19</v>
      </c>
      <c r="J43" s="1"/>
    </row>
    <row r="44" spans="1:10" x14ac:dyDescent="0.4">
      <c r="A44" s="1" t="s">
        <v>54</v>
      </c>
      <c r="B44" s="1" t="s">
        <v>55</v>
      </c>
      <c r="C44" s="1" t="s">
        <v>23</v>
      </c>
      <c r="D44" s="1"/>
      <c r="E44" s="1"/>
      <c r="F44" s="1" t="s">
        <v>26</v>
      </c>
      <c r="G44" s="1">
        <v>3500</v>
      </c>
      <c r="H44" s="1">
        <v>3500</v>
      </c>
      <c r="I44" s="1" t="s">
        <v>19</v>
      </c>
      <c r="J44" s="1"/>
    </row>
    <row r="45" spans="1:10" x14ac:dyDescent="0.4">
      <c r="A45" s="1" t="s">
        <v>54</v>
      </c>
      <c r="B45" s="1" t="s">
        <v>55</v>
      </c>
      <c r="C45" s="1" t="s">
        <v>23</v>
      </c>
      <c r="D45" s="1"/>
      <c r="E45" s="1"/>
      <c r="F45" s="1" t="s">
        <v>27</v>
      </c>
      <c r="G45" s="1">
        <v>6500</v>
      </c>
      <c r="H45" s="1">
        <v>6500</v>
      </c>
      <c r="I45" s="1" t="s">
        <v>19</v>
      </c>
      <c r="J45" s="1"/>
    </row>
    <row r="46" spans="1:10" x14ac:dyDescent="0.4">
      <c r="A46" s="1" t="s">
        <v>59</v>
      </c>
      <c r="B46" s="1" t="s">
        <v>60</v>
      </c>
      <c r="C46" s="1" t="s">
        <v>17</v>
      </c>
      <c r="D46" s="1"/>
      <c r="E46" s="1"/>
      <c r="F46" s="1" t="s">
        <v>18</v>
      </c>
      <c r="G46" s="1"/>
      <c r="H46" s="1"/>
      <c r="I46" s="1" t="s">
        <v>19</v>
      </c>
      <c r="J46" s="1"/>
    </row>
    <row r="47" spans="1:10" x14ac:dyDescent="0.4">
      <c r="A47" s="1" t="s">
        <v>59</v>
      </c>
      <c r="B47" s="1" t="s">
        <v>60</v>
      </c>
      <c r="C47" s="1" t="s">
        <v>61</v>
      </c>
      <c r="D47" s="1" t="s">
        <v>61</v>
      </c>
      <c r="E47" s="1" t="s">
        <v>62</v>
      </c>
      <c r="F47" s="1" t="s">
        <v>63</v>
      </c>
      <c r="G47" s="1">
        <v>2000</v>
      </c>
      <c r="H47" s="1"/>
      <c r="I47" s="1" t="s">
        <v>40</v>
      </c>
      <c r="J47" s="1">
        <v>2000</v>
      </c>
    </row>
    <row r="48" spans="1:10" x14ac:dyDescent="0.4">
      <c r="A48" s="1" t="s">
        <v>59</v>
      </c>
      <c r="B48" s="1" t="s">
        <v>60</v>
      </c>
      <c r="C48" s="1" t="s">
        <v>23</v>
      </c>
      <c r="D48" s="1" t="s">
        <v>23</v>
      </c>
      <c r="E48" s="1" t="s">
        <v>24</v>
      </c>
      <c r="F48" s="1" t="s">
        <v>25</v>
      </c>
      <c r="G48" s="1"/>
      <c r="H48" s="1">
        <v>2000</v>
      </c>
      <c r="I48" s="1" t="s">
        <v>19</v>
      </c>
      <c r="J48" s="1"/>
    </row>
    <row r="49" spans="1:10" x14ac:dyDescent="0.4">
      <c r="A49" s="1" t="s">
        <v>59</v>
      </c>
      <c r="B49" s="1" t="s">
        <v>60</v>
      </c>
      <c r="C49" s="1" t="s">
        <v>23</v>
      </c>
      <c r="D49" s="1"/>
      <c r="E49" s="1"/>
      <c r="F49" s="1" t="s">
        <v>26</v>
      </c>
      <c r="G49" s="1">
        <v>2000</v>
      </c>
      <c r="H49" s="1">
        <v>2000</v>
      </c>
      <c r="I49" s="1" t="s">
        <v>19</v>
      </c>
      <c r="J49" s="1"/>
    </row>
    <row r="50" spans="1:10" x14ac:dyDescent="0.4">
      <c r="A50" s="1" t="s">
        <v>59</v>
      </c>
      <c r="B50" s="1" t="s">
        <v>60</v>
      </c>
      <c r="C50" s="1" t="s">
        <v>23</v>
      </c>
      <c r="D50" s="1"/>
      <c r="E50" s="1"/>
      <c r="F50" s="1" t="s">
        <v>27</v>
      </c>
      <c r="G50" s="1">
        <v>2000</v>
      </c>
      <c r="H50" s="1">
        <v>2000</v>
      </c>
      <c r="I50" s="1" t="s">
        <v>19</v>
      </c>
      <c r="J50" s="1"/>
    </row>
    <row r="51" spans="1:10" x14ac:dyDescent="0.4">
      <c r="A51" s="1" t="s">
        <v>64</v>
      </c>
      <c r="B51" s="1" t="s">
        <v>65</v>
      </c>
      <c r="C51" s="1" t="s">
        <v>17</v>
      </c>
      <c r="D51" s="1"/>
      <c r="E51" s="1"/>
      <c r="F51" s="1" t="s">
        <v>18</v>
      </c>
      <c r="G51" s="1"/>
      <c r="H51" s="1"/>
      <c r="I51" s="1" t="s">
        <v>19</v>
      </c>
      <c r="J51" s="1"/>
    </row>
    <row r="52" spans="1:10" x14ac:dyDescent="0.4">
      <c r="A52" s="1" t="s">
        <v>64</v>
      </c>
      <c r="B52" s="1" t="s">
        <v>65</v>
      </c>
      <c r="C52" s="1" t="s">
        <v>66</v>
      </c>
      <c r="D52" s="1" t="s">
        <v>66</v>
      </c>
      <c r="E52" s="1" t="s">
        <v>67</v>
      </c>
      <c r="F52" s="1" t="s">
        <v>68</v>
      </c>
      <c r="G52" s="1">
        <v>26000</v>
      </c>
      <c r="H52" s="1"/>
      <c r="I52" s="1" t="s">
        <v>40</v>
      </c>
      <c r="J52" s="1">
        <v>26000</v>
      </c>
    </row>
    <row r="53" spans="1:10" x14ac:dyDescent="0.4">
      <c r="A53" s="1" t="s">
        <v>64</v>
      </c>
      <c r="B53" s="1" t="s">
        <v>65</v>
      </c>
      <c r="C53" s="1" t="s">
        <v>23</v>
      </c>
      <c r="D53" s="1" t="s">
        <v>23</v>
      </c>
      <c r="E53" s="1" t="s">
        <v>24</v>
      </c>
      <c r="F53" s="1" t="s">
        <v>25</v>
      </c>
      <c r="G53" s="1"/>
      <c r="H53" s="1">
        <v>26000</v>
      </c>
      <c r="I53" s="1" t="s">
        <v>19</v>
      </c>
      <c r="J53" s="1"/>
    </row>
    <row r="54" spans="1:10" x14ac:dyDescent="0.4">
      <c r="A54" s="1" t="s">
        <v>64</v>
      </c>
      <c r="B54" s="1" t="s">
        <v>65</v>
      </c>
      <c r="C54" s="1" t="s">
        <v>23</v>
      </c>
      <c r="D54" s="1"/>
      <c r="E54" s="1"/>
      <c r="F54" s="1" t="s">
        <v>26</v>
      </c>
      <c r="G54" s="1">
        <v>26000</v>
      </c>
      <c r="H54" s="1">
        <v>26000</v>
      </c>
      <c r="I54" s="1" t="s">
        <v>19</v>
      </c>
      <c r="J54" s="1"/>
    </row>
    <row r="55" spans="1:10" x14ac:dyDescent="0.4">
      <c r="A55" s="1" t="s">
        <v>64</v>
      </c>
      <c r="B55" s="1" t="s">
        <v>65</v>
      </c>
      <c r="C55" s="1" t="s">
        <v>23</v>
      </c>
      <c r="D55" s="1"/>
      <c r="E55" s="1"/>
      <c r="F55" s="1" t="s">
        <v>27</v>
      </c>
      <c r="G55" s="1">
        <v>51000</v>
      </c>
      <c r="H55" s="1">
        <v>51000</v>
      </c>
      <c r="I55" s="1" t="s">
        <v>19</v>
      </c>
      <c r="J55" s="1"/>
    </row>
    <row r="56" spans="1:10" x14ac:dyDescent="0.4">
      <c r="A56" s="1" t="s">
        <v>69</v>
      </c>
      <c r="B56" s="1" t="s">
        <v>70</v>
      </c>
      <c r="C56" s="1" t="s">
        <v>17</v>
      </c>
      <c r="D56" s="1"/>
      <c r="E56" s="1"/>
      <c r="F56" s="1" t="s">
        <v>18</v>
      </c>
      <c r="G56" s="1"/>
      <c r="H56" s="1"/>
      <c r="I56" s="1" t="s">
        <v>19</v>
      </c>
      <c r="J56" s="1"/>
    </row>
    <row r="57" spans="1:10" x14ac:dyDescent="0.4">
      <c r="A57" s="1" t="s">
        <v>69</v>
      </c>
      <c r="B57" s="1" t="s">
        <v>70</v>
      </c>
      <c r="C57" s="1" t="s">
        <v>71</v>
      </c>
      <c r="D57" s="1" t="s">
        <v>71</v>
      </c>
      <c r="E57" s="1" t="s">
        <v>72</v>
      </c>
      <c r="F57" s="1" t="s">
        <v>73</v>
      </c>
      <c r="G57" s="1">
        <v>1000</v>
      </c>
      <c r="H57" s="1"/>
      <c r="I57" s="1" t="s">
        <v>40</v>
      </c>
      <c r="J57" s="1">
        <v>1000</v>
      </c>
    </row>
    <row r="58" spans="1:10" x14ac:dyDescent="0.4">
      <c r="A58" s="1" t="s">
        <v>69</v>
      </c>
      <c r="B58" s="1" t="s">
        <v>70</v>
      </c>
      <c r="C58" s="1" t="s">
        <v>23</v>
      </c>
      <c r="D58" s="1" t="s">
        <v>23</v>
      </c>
      <c r="E58" s="1" t="s">
        <v>24</v>
      </c>
      <c r="F58" s="1" t="s">
        <v>25</v>
      </c>
      <c r="G58" s="1"/>
      <c r="H58" s="1">
        <v>1000</v>
      </c>
      <c r="I58" s="1" t="s">
        <v>19</v>
      </c>
      <c r="J58" s="1"/>
    </row>
    <row r="59" spans="1:10" x14ac:dyDescent="0.4">
      <c r="A59" s="1" t="s">
        <v>69</v>
      </c>
      <c r="B59" s="1" t="s">
        <v>70</v>
      </c>
      <c r="C59" s="1" t="s">
        <v>23</v>
      </c>
      <c r="D59" s="1"/>
      <c r="E59" s="1"/>
      <c r="F59" s="1" t="s">
        <v>26</v>
      </c>
      <c r="G59" s="1">
        <v>1000</v>
      </c>
      <c r="H59" s="1">
        <v>1000</v>
      </c>
      <c r="I59" s="1" t="s">
        <v>19</v>
      </c>
      <c r="J59" s="1"/>
    </row>
    <row r="60" spans="1:10" x14ac:dyDescent="0.4">
      <c r="A60" s="1" t="s">
        <v>69</v>
      </c>
      <c r="B60" s="1" t="s">
        <v>70</v>
      </c>
      <c r="C60" s="1" t="s">
        <v>23</v>
      </c>
      <c r="D60" s="1"/>
      <c r="E60" s="1"/>
      <c r="F60" s="1" t="s">
        <v>27</v>
      </c>
      <c r="G60" s="1">
        <v>2000</v>
      </c>
      <c r="H60" s="1">
        <v>2000</v>
      </c>
      <c r="I60" s="1" t="s">
        <v>19</v>
      </c>
      <c r="J60" s="1"/>
    </row>
    <row r="61" spans="1:10" x14ac:dyDescent="0.4">
      <c r="A61" s="1" t="s">
        <v>74</v>
      </c>
      <c r="B61" s="1" t="s">
        <v>75</v>
      </c>
      <c r="C61" s="1" t="s">
        <v>17</v>
      </c>
      <c r="D61" s="1"/>
      <c r="E61" s="1"/>
      <c r="F61" s="1" t="s">
        <v>18</v>
      </c>
      <c r="G61" s="1"/>
      <c r="H61" s="1"/>
      <c r="I61" s="1" t="s">
        <v>19</v>
      </c>
      <c r="J61" s="1"/>
    </row>
    <row r="62" spans="1:10" x14ac:dyDescent="0.4">
      <c r="A62" s="1" t="s">
        <v>74</v>
      </c>
      <c r="B62" s="1" t="s">
        <v>75</v>
      </c>
      <c r="C62" s="1" t="s">
        <v>76</v>
      </c>
      <c r="D62" s="1" t="s">
        <v>76</v>
      </c>
      <c r="E62" s="1" t="s">
        <v>77</v>
      </c>
      <c r="F62" s="1" t="s">
        <v>78</v>
      </c>
      <c r="G62" s="1">
        <v>1500</v>
      </c>
      <c r="H62" s="1"/>
      <c r="I62" s="1" t="s">
        <v>40</v>
      </c>
      <c r="J62" s="1">
        <v>1500</v>
      </c>
    </row>
    <row r="63" spans="1:10" x14ac:dyDescent="0.4">
      <c r="A63" s="1" t="s">
        <v>74</v>
      </c>
      <c r="B63" s="1" t="s">
        <v>75</v>
      </c>
      <c r="C63" s="1" t="s">
        <v>23</v>
      </c>
      <c r="D63" s="1" t="s">
        <v>23</v>
      </c>
      <c r="E63" s="1" t="s">
        <v>24</v>
      </c>
      <c r="F63" s="1" t="s">
        <v>25</v>
      </c>
      <c r="G63" s="1"/>
      <c r="H63" s="1">
        <v>1500</v>
      </c>
      <c r="I63" s="1" t="s">
        <v>19</v>
      </c>
      <c r="J63" s="1"/>
    </row>
    <row r="64" spans="1:10" x14ac:dyDescent="0.4">
      <c r="A64" s="1" t="s">
        <v>74</v>
      </c>
      <c r="B64" s="1" t="s">
        <v>75</v>
      </c>
      <c r="C64" s="1" t="s">
        <v>23</v>
      </c>
      <c r="D64" s="1"/>
      <c r="E64" s="1"/>
      <c r="F64" s="1" t="s">
        <v>26</v>
      </c>
      <c r="G64" s="1">
        <v>1500</v>
      </c>
      <c r="H64" s="1">
        <v>1500</v>
      </c>
      <c r="I64" s="1" t="s">
        <v>19</v>
      </c>
      <c r="J64" s="1"/>
    </row>
    <row r="65" spans="1:10" x14ac:dyDescent="0.4">
      <c r="A65" s="1" t="s">
        <v>74</v>
      </c>
      <c r="B65" s="1" t="s">
        <v>75</v>
      </c>
      <c r="C65" s="1" t="s">
        <v>23</v>
      </c>
      <c r="D65" s="1"/>
      <c r="E65" s="1"/>
      <c r="F65" s="1" t="s">
        <v>27</v>
      </c>
      <c r="G65" s="1">
        <v>1500</v>
      </c>
      <c r="H65" s="1">
        <v>1500</v>
      </c>
      <c r="I65" s="1" t="s">
        <v>19</v>
      </c>
      <c r="J65" s="1"/>
    </row>
    <row r="66" spans="1:10" x14ac:dyDescent="0.4">
      <c r="A66" s="1" t="s">
        <v>79</v>
      </c>
      <c r="B66" s="1" t="s">
        <v>80</v>
      </c>
      <c r="C66" s="1" t="s">
        <v>17</v>
      </c>
      <c r="D66" s="1"/>
      <c r="E66" s="1"/>
      <c r="F66" s="1" t="s">
        <v>18</v>
      </c>
      <c r="G66" s="1"/>
      <c r="H66" s="1"/>
      <c r="I66" s="1" t="s">
        <v>19</v>
      </c>
      <c r="J66" s="1"/>
    </row>
    <row r="67" spans="1:10" x14ac:dyDescent="0.4">
      <c r="A67" s="1" t="s">
        <v>79</v>
      </c>
      <c r="B67" s="1" t="s">
        <v>80</v>
      </c>
      <c r="C67" s="1" t="s">
        <v>81</v>
      </c>
      <c r="D67" s="1" t="s">
        <v>81</v>
      </c>
      <c r="E67" s="1" t="s">
        <v>82</v>
      </c>
      <c r="F67" s="1" t="s">
        <v>83</v>
      </c>
      <c r="G67" s="1">
        <v>500</v>
      </c>
      <c r="H67" s="1"/>
      <c r="I67" s="1" t="s">
        <v>40</v>
      </c>
      <c r="J67" s="1">
        <v>500</v>
      </c>
    </row>
    <row r="68" spans="1:10" x14ac:dyDescent="0.4">
      <c r="A68" s="1" t="s">
        <v>79</v>
      </c>
      <c r="B68" s="1" t="s">
        <v>80</v>
      </c>
      <c r="C68" s="1" t="s">
        <v>23</v>
      </c>
      <c r="D68" s="1" t="s">
        <v>23</v>
      </c>
      <c r="E68" s="1" t="s">
        <v>24</v>
      </c>
      <c r="F68" s="1" t="s">
        <v>25</v>
      </c>
      <c r="G68" s="1"/>
      <c r="H68" s="1">
        <v>500</v>
      </c>
      <c r="I68" s="1" t="s">
        <v>19</v>
      </c>
      <c r="J68" s="1"/>
    </row>
    <row r="69" spans="1:10" x14ac:dyDescent="0.4">
      <c r="A69" s="1" t="s">
        <v>79</v>
      </c>
      <c r="B69" s="1" t="s">
        <v>80</v>
      </c>
      <c r="C69" s="1" t="s">
        <v>23</v>
      </c>
      <c r="D69" s="1"/>
      <c r="E69" s="1"/>
      <c r="F69" s="1" t="s">
        <v>26</v>
      </c>
      <c r="G69" s="1">
        <v>500</v>
      </c>
      <c r="H69" s="1">
        <v>500</v>
      </c>
      <c r="I69" s="1" t="s">
        <v>19</v>
      </c>
      <c r="J69" s="1"/>
    </row>
    <row r="70" spans="1:10" x14ac:dyDescent="0.4">
      <c r="A70" s="1" t="s">
        <v>79</v>
      </c>
      <c r="B70" s="1" t="s">
        <v>80</v>
      </c>
      <c r="C70" s="1" t="s">
        <v>23</v>
      </c>
      <c r="D70" s="1"/>
      <c r="E70" s="1"/>
      <c r="F70" s="1" t="s">
        <v>27</v>
      </c>
      <c r="G70" s="1">
        <v>500</v>
      </c>
      <c r="H70" s="1">
        <v>500</v>
      </c>
      <c r="I70" s="1" t="s">
        <v>19</v>
      </c>
      <c r="J70" s="1"/>
    </row>
  </sheetData>
  <mergeCells count="14">
    <mergeCell ref="A1:J1"/>
    <mergeCell ref="A4:A5"/>
    <mergeCell ref="B4:B5"/>
    <mergeCell ref="C4:C5"/>
    <mergeCell ref="D4:D5"/>
    <mergeCell ref="E4:E5"/>
    <mergeCell ref="F4:F5"/>
    <mergeCell ref="G4:G5"/>
    <mergeCell ref="H4:H5"/>
    <mergeCell ref="I4:J4"/>
    <mergeCell ref="A2:E2"/>
    <mergeCell ref="F2:J2"/>
    <mergeCell ref="A3:E3"/>
    <mergeCell ref="F3:J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795F-4690-45F7-9DC4-22FB607CC7C3}">
  <dimension ref="A1:H11"/>
  <sheetViews>
    <sheetView tabSelected="1" workbookViewId="0">
      <selection activeCell="E8" sqref="E8:E11"/>
    </sheetView>
  </sheetViews>
  <sheetFormatPr defaultRowHeight="13.9" x14ac:dyDescent="0.4"/>
  <sheetData>
    <row r="1" spans="1:8" x14ac:dyDescent="0.4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 x14ac:dyDescent="0.4">
      <c r="A2">
        <v>120000</v>
      </c>
      <c r="B2">
        <v>72000</v>
      </c>
      <c r="C2">
        <v>60000</v>
      </c>
      <c r="D2">
        <v>36000</v>
      </c>
      <c r="E2">
        <v>40000</v>
      </c>
      <c r="F2">
        <v>28000</v>
      </c>
      <c r="G2">
        <v>0</v>
      </c>
      <c r="H2">
        <v>0</v>
      </c>
    </row>
    <row r="7" spans="1:8" x14ac:dyDescent="0.4">
      <c r="A7" t="s">
        <v>92</v>
      </c>
      <c r="B7" t="s">
        <v>93</v>
      </c>
      <c r="C7" t="s">
        <v>94</v>
      </c>
      <c r="D7" t="s">
        <v>95</v>
      </c>
      <c r="E7" t="s">
        <v>96</v>
      </c>
    </row>
    <row r="8" spans="1:8" x14ac:dyDescent="0.4">
      <c r="A8" t="s">
        <v>97</v>
      </c>
      <c r="B8">
        <v>120000</v>
      </c>
      <c r="C8">
        <v>72000</v>
      </c>
      <c r="D8">
        <f>B8-C8</f>
        <v>48000</v>
      </c>
      <c r="E8">
        <f>D8/B8</f>
        <v>0.4</v>
      </c>
    </row>
    <row r="9" spans="1:8" x14ac:dyDescent="0.4">
      <c r="A9" t="s">
        <v>98</v>
      </c>
      <c r="B9">
        <v>60000</v>
      </c>
      <c r="C9">
        <v>36000</v>
      </c>
      <c r="D9">
        <f t="shared" ref="D9:D10" si="0">B9-C9</f>
        <v>24000</v>
      </c>
      <c r="E9">
        <f t="shared" ref="E9:E11" si="1">D9/B9</f>
        <v>0.4</v>
      </c>
    </row>
    <row r="10" spans="1:8" x14ac:dyDescent="0.4">
      <c r="A10" t="s">
        <v>99</v>
      </c>
      <c r="B10">
        <v>40000</v>
      </c>
      <c r="C10">
        <v>28000</v>
      </c>
      <c r="D10">
        <f t="shared" si="0"/>
        <v>12000</v>
      </c>
      <c r="E10">
        <f t="shared" si="1"/>
        <v>0.3</v>
      </c>
    </row>
    <row r="11" spans="1:8" x14ac:dyDescent="0.4">
      <c r="A11" t="s">
        <v>100</v>
      </c>
      <c r="B11">
        <f>SUM(B8:B10)</f>
        <v>220000</v>
      </c>
      <c r="C11">
        <f t="shared" ref="C11:D11" si="2">SUM(C8:C10)</f>
        <v>136000</v>
      </c>
      <c r="D11">
        <f t="shared" si="2"/>
        <v>84000</v>
      </c>
      <c r="E11">
        <f t="shared" si="1"/>
        <v>0.38181818181818183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产品分析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Zoe King</cp:lastModifiedBy>
  <dcterms:created xsi:type="dcterms:W3CDTF">2026-03-06T08:58:04Z</dcterms:created>
  <dcterms:modified xsi:type="dcterms:W3CDTF">2026-03-06T09:18:39Z</dcterms:modified>
</cp:coreProperties>
</file>