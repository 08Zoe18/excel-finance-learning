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Excel练习\"/>
    </mc:Choice>
  </mc:AlternateContent>
  <xr:revisionPtr revIDLastSave="0" documentId="8_{D8CF0E2D-647D-4914-B910-BAB4EF0A5CA3}" xr6:coauthVersionLast="47" xr6:coauthVersionMax="47" xr10:uidLastSave="{00000000-0000-0000-0000-000000000000}"/>
  <bookViews>
    <workbookView xWindow="187" yWindow="330" windowWidth="16200" windowHeight="11340" xr2:uid="{928D79FE-4F8C-4DAA-B98E-28A012D4D6A8}"/>
  </bookViews>
  <sheets>
    <sheet name="银行流水" sheetId="1" r:id="rId1"/>
    <sheet name="凭证信息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  <c r="H3" i="1"/>
  <c r="G2" i="1"/>
  <c r="J3" i="2"/>
  <c r="G3" i="2"/>
  <c r="G4" i="2"/>
  <c r="G5" i="2"/>
  <c r="G6" i="2"/>
  <c r="G7" i="2"/>
  <c r="G2" i="2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<sst xmlns="http://schemas.openxmlformats.org/spreadsheetml/2006/main" count="44" uniqueCount="33">
  <si>
    <t>交易日期</t>
  </si>
  <si>
    <t>摘要</t>
  </si>
  <si>
    <t>交易金额</t>
  </si>
  <si>
    <t>对方户名</t>
  </si>
  <si>
    <t>支付货款-采购A</t>
  </si>
  <si>
    <t>宏达科技</t>
  </si>
  <si>
    <t>收到货款-销售B</t>
  </si>
  <si>
    <t>华贸电子</t>
  </si>
  <si>
    <t>支付房租</t>
  </si>
  <si>
    <t>兴业物业</t>
  </si>
  <si>
    <t>支付工资</t>
  </si>
  <si>
    <t>无</t>
  </si>
  <si>
    <t>收到货款-销售C</t>
  </si>
  <si>
    <t>联强实业</t>
  </si>
  <si>
    <t>支付社保</t>
  </si>
  <si>
    <t>社保局</t>
  </si>
  <si>
    <t>支付货款-采购D</t>
  </si>
  <si>
    <t>银行手续费</t>
  </si>
  <si>
    <t>银行</t>
  </si>
  <si>
    <t>凭证号</t>
  </si>
  <si>
    <t>业务日期</t>
  </si>
  <si>
    <t>借方金额</t>
  </si>
  <si>
    <t>贷方金额</t>
  </si>
  <si>
    <t>记-101</t>
  </si>
  <si>
    <t>采购A材料</t>
  </si>
  <si>
    <t>记-102</t>
  </si>
  <si>
    <t>销售B产品</t>
  </si>
  <si>
    <t>记-103</t>
  </si>
  <si>
    <t>记-104</t>
  </si>
  <si>
    <t>销售C产品</t>
  </si>
  <si>
    <t>记-105</t>
  </si>
  <si>
    <t>采购D材料</t>
  </si>
  <si>
    <t>记-106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</si>
</sst>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3D45-43AE-4EAF-8DEF-176376601F1B}">
  <dimension ref="A1:H9"/>
  <sheetViews>
    <sheetView tabSelected="1" workbookViewId="0">
      <selection activeCell="H3" sqref="H3"/>
    </sheetView>
  </sheetViews>
  <sheetFormatPr defaultRowHeight="13.9" x14ac:dyDescent="0.4"/>
  <cols>
    <col min="5" max="5" width="14.73046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</row>
    <row r="2" spans="1:8" x14ac:dyDescent="0.4">
      <c r="A2" s="1">
        <v>46082</v>
      </c>
      <c r="B2" t="s">
        <v>4</v>
      </c>
      <c r="C2" s="2">
        <v>-50000</v>
      </c>
      <c r="D2" t="s">
        <v>5</v>
      </c>
      <c r="E2" t="str">
        <f>ABS(C2) &amp; D2</f>
        <v>50000宏达科技</v>
      </c>
      <c r="F2" t="str">
        <f>INDEX(凭证信息!$A$2:$A$7, MATCH(E2, 凭证信息!$G$2:$G$7, 0))</f>
        <v>记-101</v>
      </c>
      <c r="G2">
        <f>LEN(E2)</f>
        <v>9</v>
      </c>
    </row>
    <row r="3" spans="1:8" x14ac:dyDescent="0.4">
      <c r="A3" s="1">
        <v>46083</v>
      </c>
      <c r="B3" t="s">
        <v>6</v>
      </c>
      <c r="C3" s="2">
        <v>120000</v>
      </c>
      <c r="D3" t="s">
        <v>7</v>
      </c>
      <c r="E3" t="str">
        <f t="shared" ref="E3:E9" si="0">ABS(C3) &amp; D3</f>
        <v>120000华贸电子</v>
      </c>
      <c r="F3" t="str">
        <f>INDEX(凭证信息!$A$2:$A$7, MATCH(E3, 凭证信息!$G$2:$G$7, 0))</f>
        <v>记-102</v>
      </c>
      <c r="H3" t="e">
        <f>EXACT(E2,[1]Sheet2!G2)</f>
        <v>#REF!</v>
      </c>
    </row>
    <row r="4" spans="1:8" x14ac:dyDescent="0.4">
      <c r="A4" s="1">
        <v>46084</v>
      </c>
      <c r="B4" t="s">
        <v>8</v>
      </c>
      <c r="C4" s="2">
        <v>-15000</v>
      </c>
      <c r="D4" t="s">
        <v>9</v>
      </c>
      <c r="E4" t="str">
        <f t="shared" si="0"/>
        <v>15000兴业物业</v>
      </c>
      <c r="F4" t="str">
        <f>INDEX(凭证信息!$A$2:$A$7, MATCH(E4, 凭证信息!$G$2:$G$7, 0))</f>
        <v>记-103</v>
      </c>
    </row>
    <row r="5" spans="1:8" x14ac:dyDescent="0.4">
      <c r="A5" s="1">
        <v>46085</v>
      </c>
      <c r="B5" t="s">
        <v>10</v>
      </c>
      <c r="C5" s="2">
        <v>-25000</v>
      </c>
      <c r="D5" t="s">
        <v>11</v>
      </c>
      <c r="E5" t="str">
        <f t="shared" si="0"/>
        <v>25000无</v>
      </c>
      <c r="F5" t="e">
        <f>INDEX(凭证信息!$A$2:$A$7, MATCH(E5, 凭证信息!$G$2:$G$7, 0))</f>
        <v>#N/A</v>
      </c>
    </row>
    <row r="6" spans="1:8" x14ac:dyDescent="0.4">
      <c r="A6" s="1">
        <v>46086</v>
      </c>
      <c r="B6" t="s">
        <v>12</v>
      </c>
      <c r="C6" s="2">
        <v>80000</v>
      </c>
      <c r="D6" t="s">
        <v>13</v>
      </c>
      <c r="E6" t="str">
        <f t="shared" si="0"/>
        <v>80000联强实业</v>
      </c>
      <c r="F6" t="str">
        <f>INDEX(凭证信息!$A$2:$A$7, MATCH(E6, 凭证信息!$G$2:$G$7, 0))</f>
        <v>记-104</v>
      </c>
    </row>
    <row r="7" spans="1:8" x14ac:dyDescent="0.4">
      <c r="A7" s="1">
        <v>46087</v>
      </c>
      <c r="B7" t="s">
        <v>14</v>
      </c>
      <c r="C7" s="2">
        <v>-8500</v>
      </c>
      <c r="D7" t="s">
        <v>15</v>
      </c>
      <c r="E7" t="str">
        <f t="shared" si="0"/>
        <v>8500社保局</v>
      </c>
      <c r="F7" t="e">
        <f>INDEX(凭证信息!$A$2:$A$7, MATCH(E7, 凭证信息!$G$2:$G$7, 0))</f>
        <v>#N/A</v>
      </c>
    </row>
    <row r="8" spans="1:8" x14ac:dyDescent="0.4">
      <c r="A8" s="1">
        <v>46088</v>
      </c>
      <c r="B8" t="s">
        <v>16</v>
      </c>
      <c r="C8" s="2">
        <v>-30000</v>
      </c>
      <c r="D8" t="s">
        <v>5</v>
      </c>
      <c r="E8" t="str">
        <f t="shared" si="0"/>
        <v>30000宏达科技</v>
      </c>
      <c r="F8" t="str">
        <f>INDEX(凭证信息!$A$2:$A$7, MATCH(E8, 凭证信息!$G$2:$G$7, 0))</f>
        <v>记-105</v>
      </c>
    </row>
    <row r="9" spans="1:8" x14ac:dyDescent="0.4">
      <c r="A9" s="1">
        <v>46089</v>
      </c>
      <c r="B9" t="s">
        <v>17</v>
      </c>
      <c r="C9">
        <v>-500</v>
      </c>
      <c r="D9" t="s">
        <v>18</v>
      </c>
      <c r="E9" t="str">
        <f t="shared" si="0"/>
        <v>500银行</v>
      </c>
      <c r="F9" t="str">
        <f>INDEX(凭证信息!$A$2:$A$7, MATCH(E9, 凭证信息!$G$2:$G$7, 0))</f>
        <v>记-106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BFE8-D980-4A8B-BA92-742919F89C2B}">
  <dimension ref="A1:J7"/>
  <sheetViews>
    <sheetView workbookViewId="0">
      <selection activeCell="J4" sqref="J4"/>
    </sheetView>
  </sheetViews>
  <sheetFormatPr defaultRowHeight="13.9" x14ac:dyDescent="0.4"/>
  <sheetData>
    <row r="1" spans="1:10" x14ac:dyDescent="0.4">
      <c r="A1" t="s">
        <v>19</v>
      </c>
      <c r="B1" t="s">
        <v>20</v>
      </c>
      <c r="C1" t="s">
        <v>1</v>
      </c>
      <c r="D1" t="s">
        <v>21</v>
      </c>
      <c r="E1" t="s">
        <v>22</v>
      </c>
      <c r="F1" t="s">
        <v>3</v>
      </c>
    </row>
    <row r="2" spans="1:10" x14ac:dyDescent="0.4">
      <c r="A2" t="s">
        <v>23</v>
      </c>
      <c r="B2" s="1">
        <v>46082</v>
      </c>
      <c r="C2" t="s">
        <v>24</v>
      </c>
      <c r="D2" s="2">
        <v>50000</v>
      </c>
      <c r="F2" t="s">
        <v>5</v>
      </c>
      <c r="G2" t="str">
        <f>IF(D2&lt;&gt;"", D2 &amp; F2, E2 &amp; F2)</f>
        <v>50000宏达科技</v>
      </c>
    </row>
    <row r="3" spans="1:10" x14ac:dyDescent="0.4">
      <c r="A3" t="s">
        <v>25</v>
      </c>
      <c r="B3" s="1">
        <v>46083</v>
      </c>
      <c r="C3" t="s">
        <v>26</v>
      </c>
      <c r="D3" s="2"/>
      <c r="E3">
        <v>120000</v>
      </c>
      <c r="F3" t="s">
        <v>7</v>
      </c>
      <c r="G3" t="str">
        <f t="shared" ref="G3:G7" si="0">IF(D3&lt;&gt;"", D3 &amp; F3, E3 &amp; F3)</f>
        <v>120000华贸电子</v>
      </c>
      <c r="J3">
        <f>LEN(G2)</f>
        <v>9</v>
      </c>
    </row>
    <row r="4" spans="1:10" x14ac:dyDescent="0.4">
      <c r="A4" t="s">
        <v>27</v>
      </c>
      <c r="B4" s="1">
        <v>46084</v>
      </c>
      <c r="C4" t="s">
        <v>8</v>
      </c>
      <c r="D4" s="2">
        <v>15000</v>
      </c>
      <c r="F4" t="s">
        <v>9</v>
      </c>
      <c r="G4" t="str">
        <f t="shared" si="0"/>
        <v>15000兴业物业</v>
      </c>
    </row>
    <row r="5" spans="1:10" x14ac:dyDescent="0.4">
      <c r="A5" t="s">
        <v>28</v>
      </c>
      <c r="B5" s="1">
        <v>46086</v>
      </c>
      <c r="C5" t="s">
        <v>29</v>
      </c>
      <c r="D5" s="2"/>
      <c r="E5">
        <v>80000</v>
      </c>
      <c r="F5" t="s">
        <v>13</v>
      </c>
      <c r="G5" t="str">
        <f t="shared" si="0"/>
        <v>80000联强实业</v>
      </c>
    </row>
    <row r="6" spans="1:10" x14ac:dyDescent="0.4">
      <c r="A6" t="s">
        <v>30</v>
      </c>
      <c r="B6" s="1">
        <v>46088</v>
      </c>
      <c r="C6" t="s">
        <v>31</v>
      </c>
      <c r="D6" s="2">
        <v>30000</v>
      </c>
      <c r="F6" t="s">
        <v>5</v>
      </c>
      <c r="G6" t="str">
        <f t="shared" si="0"/>
        <v>30000宏达科技</v>
      </c>
    </row>
    <row r="7" spans="1:10" x14ac:dyDescent="0.4">
      <c r="A7" t="s">
        <v>32</v>
      </c>
      <c r="B7" s="1">
        <v>46089</v>
      </c>
      <c r="C7" t="s">
        <v>17</v>
      </c>
      <c r="D7">
        <v>500</v>
      </c>
      <c r="F7" t="s">
        <v>18</v>
      </c>
      <c r="G7" t="str">
        <f t="shared" si="0"/>
        <v>500银行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银行流水</vt:lpstr>
      <vt:lpstr>凭证信息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King</dc:creator>
  <cp:lastModifiedBy>Zoe King</cp:lastModifiedBy>
  <dcterms:created xsi:type="dcterms:W3CDTF">2026-03-08T07:39:28Z</dcterms:created>
  <dcterms:modified xsi:type="dcterms:W3CDTF">2026-03-08T08:43:27Z</dcterms:modified>
</cp:coreProperties>
</file>